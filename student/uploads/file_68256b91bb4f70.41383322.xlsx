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uan\"/>
    </mc:Choice>
  </mc:AlternateContent>
  <xr:revisionPtr revIDLastSave="0" documentId="8_{12C5DB1E-794E-489B-BBB7-C25F47D0893F}" xr6:coauthVersionLast="47" xr6:coauthVersionMax="47" xr10:uidLastSave="{00000000-0000-0000-0000-000000000000}"/>
  <bookViews>
    <workbookView xWindow="-108" yWindow="-108" windowWidth="23256" windowHeight="12456" firstSheet="2" activeTab="4" xr2:uid="{B7118E67-C751-455A-9782-AC7BF741E044}"/>
  </bookViews>
  <sheets>
    <sheet name="敏感度報表 1" sheetId="2" r:id="rId1"/>
    <sheet name="運算結果報表 1" sheetId="3" r:id="rId2"/>
    <sheet name="第一題" sheetId="1" r:id="rId3"/>
    <sheet name="運算結果報表 2" sheetId="5" r:id="rId4"/>
    <sheet name="第二題" sheetId="4" r:id="rId5"/>
  </sheets>
  <definedNames>
    <definedName name="solver_adj" localSheetId="2" hidden="1">第一題!$B$2:$C$2</definedName>
    <definedName name="solver_adj" localSheetId="4" hidden="1">第二題!$B$2:$E$2</definedName>
    <definedName name="solver_cvg" localSheetId="2" hidden="1">0.0001</definedName>
    <definedName name="solver_cvg" localSheetId="4" hidden="1">0.0001</definedName>
    <definedName name="solver_drv" localSheetId="2" hidden="1">2</definedName>
    <definedName name="solver_drv" localSheetId="4" hidden="1">1</definedName>
    <definedName name="solver_eng" localSheetId="2" hidden="1">2</definedName>
    <definedName name="solver_eng" localSheetId="4" hidden="1">2</definedName>
    <definedName name="solver_est" localSheetId="2" hidden="1">1</definedName>
    <definedName name="solver_est" localSheetId="4" hidden="1">1</definedName>
    <definedName name="solver_itr" localSheetId="2" hidden="1">2147483647</definedName>
    <definedName name="solver_itr" localSheetId="4" hidden="1">2147483647</definedName>
    <definedName name="solver_lhs1" localSheetId="2" hidden="1">第一題!$B$2</definedName>
    <definedName name="solver_lhs1" localSheetId="4" hidden="1">第二題!$B$10</definedName>
    <definedName name="solver_lhs2" localSheetId="2" hidden="1">第一題!$B$7</definedName>
    <definedName name="solver_lhs2" localSheetId="4" hidden="1">第二題!$B$11</definedName>
    <definedName name="solver_lhs3" localSheetId="2" hidden="1">第一題!$B$8</definedName>
    <definedName name="solver_lhs3" localSheetId="4" hidden="1">第二題!$B$2</definedName>
    <definedName name="solver_lhs4" localSheetId="2" hidden="1">第一題!$C$2</definedName>
    <definedName name="solver_lhs4" localSheetId="4" hidden="1">第二題!$B$2:$E$2</definedName>
    <definedName name="solver_lhs5" localSheetId="4" hidden="1">第二題!$B$8</definedName>
    <definedName name="solver_lhs6" localSheetId="4" hidden="1">第二題!$B$9</definedName>
    <definedName name="solver_lhs7" localSheetId="4" hidden="1">第二題!$B$9</definedName>
    <definedName name="solver_mip" localSheetId="2" hidden="1">2147483647</definedName>
    <definedName name="solver_mip" localSheetId="4" hidden="1">2147483647</definedName>
    <definedName name="solver_mni" localSheetId="2" hidden="1">30</definedName>
    <definedName name="solver_mni" localSheetId="4" hidden="1">30</definedName>
    <definedName name="solver_mrt" localSheetId="2" hidden="1">0.075</definedName>
    <definedName name="solver_mrt" localSheetId="4" hidden="1">0.075</definedName>
    <definedName name="solver_msl" localSheetId="2" hidden="1">2</definedName>
    <definedName name="solver_msl" localSheetId="4" hidden="1">2</definedName>
    <definedName name="solver_neg" localSheetId="2" hidden="1">1</definedName>
    <definedName name="solver_neg" localSheetId="4" hidden="1">1</definedName>
    <definedName name="solver_nod" localSheetId="2" hidden="1">2147483647</definedName>
    <definedName name="solver_nod" localSheetId="4" hidden="1">2147483647</definedName>
    <definedName name="solver_num" localSheetId="2" hidden="1">4</definedName>
    <definedName name="solver_num" localSheetId="4" hidden="1">6</definedName>
    <definedName name="solver_nwt" localSheetId="2" hidden="1">1</definedName>
    <definedName name="solver_nwt" localSheetId="4" hidden="1">1</definedName>
    <definedName name="solver_opt" localSheetId="2" hidden="1">第一題!$B$4</definedName>
    <definedName name="solver_opt" localSheetId="4" hidden="1">第二題!$B$4</definedName>
    <definedName name="solver_pre" localSheetId="2" hidden="1">0.000001</definedName>
    <definedName name="solver_pre" localSheetId="4" hidden="1">0.000001</definedName>
    <definedName name="solver_rbv" localSheetId="2" hidden="1">2</definedName>
    <definedName name="solver_rbv" localSheetId="4" hidden="1">1</definedName>
    <definedName name="solver_rel1" localSheetId="2" hidden="1">3</definedName>
    <definedName name="solver_rel1" localSheetId="4" hidden="1">1</definedName>
    <definedName name="solver_rel2" localSheetId="2" hidden="1">1</definedName>
    <definedName name="solver_rel2" localSheetId="4" hidden="1">1</definedName>
    <definedName name="solver_rel3" localSheetId="2" hidden="1">1</definedName>
    <definedName name="solver_rel3" localSheetId="4" hidden="1">1</definedName>
    <definedName name="solver_rel4" localSheetId="2" hidden="1">3</definedName>
    <definedName name="solver_rel4" localSheetId="4" hidden="1">3</definedName>
    <definedName name="solver_rel5" localSheetId="4" hidden="1">1</definedName>
    <definedName name="solver_rel6" localSheetId="4" hidden="1">1</definedName>
    <definedName name="solver_rel7" localSheetId="4" hidden="1">1</definedName>
    <definedName name="solver_rhs1" localSheetId="2" hidden="1">0</definedName>
    <definedName name="solver_rhs1" localSheetId="4" hidden="1">500</definedName>
    <definedName name="solver_rhs2" localSheetId="2" hidden="1">第一題!$C$7</definedName>
    <definedName name="solver_rhs2" localSheetId="4" hidden="1">500</definedName>
    <definedName name="solver_rhs3" localSheetId="2" hidden="1">第一題!$C$8</definedName>
    <definedName name="solver_rhs3" localSheetId="4" hidden="1">72</definedName>
    <definedName name="solver_rhs4" localSheetId="2" hidden="1">0</definedName>
    <definedName name="solver_rhs4" localSheetId="4" hidden="1">0</definedName>
    <definedName name="solver_rhs5" localSheetId="4" hidden="1">1200</definedName>
    <definedName name="solver_rhs6" localSheetId="4" hidden="1">25000</definedName>
    <definedName name="solver_rhs7" localSheetId="4" hidden="1">25000</definedName>
    <definedName name="solver_rlx" localSheetId="2" hidden="1">2</definedName>
    <definedName name="solver_rlx" localSheetId="4" hidden="1">2</definedName>
    <definedName name="solver_rsd" localSheetId="2" hidden="1">0</definedName>
    <definedName name="solver_rsd" localSheetId="4" hidden="1">0</definedName>
    <definedName name="solver_scl" localSheetId="2" hidden="1">2</definedName>
    <definedName name="solver_scl" localSheetId="4" hidden="1">1</definedName>
    <definedName name="solver_sho" localSheetId="2" hidden="1">2</definedName>
    <definedName name="solver_sho" localSheetId="4" hidden="1">2</definedName>
    <definedName name="solver_ssz" localSheetId="2" hidden="1">100</definedName>
    <definedName name="solver_ssz" localSheetId="4" hidden="1">100</definedName>
    <definedName name="solver_tim" localSheetId="2" hidden="1">2147483647</definedName>
    <definedName name="solver_tim" localSheetId="4" hidden="1">2147483647</definedName>
    <definedName name="solver_tol" localSheetId="2" hidden="1">0.01</definedName>
    <definedName name="solver_tol" localSheetId="4" hidden="1">0.01</definedName>
    <definedName name="solver_typ" localSheetId="2" hidden="1">1</definedName>
    <definedName name="solver_typ" localSheetId="4" hidden="1">1</definedName>
    <definedName name="solver_val" localSheetId="2" hidden="1">0</definedName>
    <definedName name="solver_val" localSheetId="4" hidden="1">0</definedName>
    <definedName name="solver_ver" localSheetId="2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B9" i="4"/>
  <c r="B8" i="4"/>
  <c r="B7" i="4"/>
  <c r="B4" i="4"/>
  <c r="B4" i="1"/>
  <c r="B7" i="1"/>
</calcChain>
</file>

<file path=xl/sharedStrings.xml><?xml version="1.0" encoding="utf-8"?>
<sst xmlns="http://schemas.openxmlformats.org/spreadsheetml/2006/main" count="190" uniqueCount="91">
  <si>
    <t>變數</t>
    <phoneticPr fontId="1" type="noConversion"/>
  </si>
  <si>
    <t>X1</t>
    <phoneticPr fontId="1" type="noConversion"/>
  </si>
  <si>
    <t>X2</t>
    <phoneticPr fontId="1" type="noConversion"/>
  </si>
  <si>
    <t>變數值</t>
    <phoneticPr fontId="1" type="noConversion"/>
  </si>
  <si>
    <t>目標函數</t>
    <phoneticPr fontId="1" type="noConversion"/>
  </si>
  <si>
    <t>約束條件</t>
    <phoneticPr fontId="1" type="noConversion"/>
  </si>
  <si>
    <t>X1 + 2X2 &lt;= 6</t>
    <phoneticPr fontId="1" type="noConversion"/>
  </si>
  <si>
    <t>5X1 + 3X2 &lt;= 15</t>
    <phoneticPr fontId="1" type="noConversion"/>
  </si>
  <si>
    <t>Microsoft Excel 16.0 敏感度報表</t>
  </si>
  <si>
    <t>工作表: [Book1.xlsx]Sheet1</t>
  </si>
  <si>
    <t>已建立的報表: 2025/3/13 上午 09:47:11</t>
  </si>
  <si>
    <t>變數儲存格</t>
  </si>
  <si>
    <t>儲存格</t>
  </si>
  <si>
    <t>名稱</t>
  </si>
  <si>
    <t>終</t>
  </si>
  <si>
    <t>值</t>
  </si>
  <si>
    <t>遞減</t>
  </si>
  <si>
    <t>成本</t>
  </si>
  <si>
    <t>目標式</t>
  </si>
  <si>
    <t>係數</t>
  </si>
  <si>
    <t>允許的</t>
  </si>
  <si>
    <t>增量</t>
  </si>
  <si>
    <t>減量</t>
  </si>
  <si>
    <t>限制式</t>
  </si>
  <si>
    <t>影子</t>
  </si>
  <si>
    <t>價格</t>
  </si>
  <si>
    <t>右手邊</t>
  </si>
  <si>
    <t>$B$2</t>
  </si>
  <si>
    <t>變數值 X1</t>
  </si>
  <si>
    <t>$C$2</t>
  </si>
  <si>
    <t>變數值 X2</t>
  </si>
  <si>
    <t>$B$7</t>
  </si>
  <si>
    <t>X1 + 2X2 &lt;= 6 X1</t>
  </si>
  <si>
    <t>$B$8</t>
  </si>
  <si>
    <t>5X1 + 3X2 &lt;= 15 X1</t>
  </si>
  <si>
    <t>Microsoft Excel 16.0 運算結果報表</t>
  </si>
  <si>
    <t>已建立的報表: 2025/3/13 上午 09:51:07</t>
  </si>
  <si>
    <t>結果: 規劃求解找到解答。可滿足所有限制式和最適率條件。</t>
  </si>
  <si>
    <t>規劃求解引擎</t>
  </si>
  <si>
    <t>引擎: 單純 LP</t>
  </si>
  <si>
    <t>求解時間: 0.141 秒。</t>
  </si>
  <si>
    <t>反覆運算次數: 2 子問題: 0</t>
  </si>
  <si>
    <t>規劃求解選項</t>
  </si>
  <si>
    <t>最大時限 不限定,  反覆運算 不限定, Precision 0.000001</t>
  </si>
  <si>
    <t>子問題數目上限 不限定, 整數解答上限 不限定, 整數誤差值 1%, 採用 NonNegative</t>
  </si>
  <si>
    <t>目標儲存格 (最大值)</t>
  </si>
  <si>
    <t>初值</t>
  </si>
  <si>
    <t>終值</t>
  </si>
  <si>
    <t>整數</t>
  </si>
  <si>
    <t>儲存格值</t>
  </si>
  <si>
    <t>公式</t>
  </si>
  <si>
    <t>狀態</t>
  </si>
  <si>
    <t>寬限時間</t>
  </si>
  <si>
    <t>$B$4</t>
  </si>
  <si>
    <t>目標函數 X1</t>
  </si>
  <si>
    <t>連續</t>
  </si>
  <si>
    <t>$B$7&lt;=$C$7</t>
  </si>
  <si>
    <t>繫結</t>
  </si>
  <si>
    <t>$B$8&lt;=$C$8</t>
  </si>
  <si>
    <t>未繫結</t>
  </si>
  <si>
    <t>$B$2&gt;=0</t>
  </si>
  <si>
    <t>$C$2&gt;=0</t>
  </si>
  <si>
    <t>X3</t>
    <phoneticPr fontId="1" type="noConversion"/>
  </si>
  <si>
    <t>X4</t>
    <phoneticPr fontId="1" type="noConversion"/>
  </si>
  <si>
    <t>0.10X1 + 0.25X2 + 0.08X3 + 0.21X4 &lt;= 72</t>
    <phoneticPr fontId="1" type="noConversion"/>
  </si>
  <si>
    <t>3X1 + 3X2 + X3 + X4 &lt;= 1200</t>
    <phoneticPr fontId="1" type="noConversion"/>
  </si>
  <si>
    <t>36X1 + 48X2 + 25X3 + 35X4 &lt;= 25000</t>
    <phoneticPr fontId="1" type="noConversion"/>
  </si>
  <si>
    <t>X3 + X4 &lt;= 500</t>
    <phoneticPr fontId="1" type="noConversion"/>
  </si>
  <si>
    <t>工作表: [Book1.xlsx]第二題</t>
  </si>
  <si>
    <t>已建立的報表: 2025/3/13 上午 10:08:22</t>
  </si>
  <si>
    <t>求解時間: 0.046 秒。</t>
  </si>
  <si>
    <t>最大時限 不限定,  反覆運算 不限定, Precision 0.000001, 使用自動範圍調整</t>
  </si>
  <si>
    <t>$D$2</t>
  </si>
  <si>
    <t>變數值 X3</t>
  </si>
  <si>
    <t>$E$2</t>
  </si>
  <si>
    <t>變數值 X4</t>
  </si>
  <si>
    <t>$B$10</t>
  </si>
  <si>
    <t>X1 + X2 &lt;= 500 X1</t>
  </si>
  <si>
    <t>$B$10&lt;=500</t>
  </si>
  <si>
    <t>$B$11</t>
  </si>
  <si>
    <t>X3 + X4 &lt;= 500 X1</t>
  </si>
  <si>
    <t>$B$11&lt;=500</t>
  </si>
  <si>
    <t>3X1 + 3X2 + X3 + X4 &lt;= 1200 X1</t>
  </si>
  <si>
    <t>$B$8&lt;=1200</t>
  </si>
  <si>
    <t>$B$9</t>
  </si>
  <si>
    <t>36X1 + 48X2 + 25X3 + 35X4 &lt;= 25000 X1</t>
  </si>
  <si>
    <t>$B$9&lt;=25000</t>
  </si>
  <si>
    <t>$B$2&lt;=72</t>
  </si>
  <si>
    <t>$D$2&gt;=0</t>
  </si>
  <si>
    <t>$E$2&gt;=0</t>
  </si>
  <si>
    <t>X1 + X2 &lt;= 3000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</si>
</sst>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indexed="18"/>
      <name val="新細明體"/>
      <family val="2"/>
      <charset val="136"/>
      <scheme val="minor"/>
    </font>
    <font>
      <b/>
      <sz val="11"/>
      <color indexed="18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vertical="center"/>
    </xf>
    <xf numFmtId="0" fontId="0" fillId="0" borderId="3" xfId="0" applyNumberForma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09B4-BE7C-4B26-9200-FA864FC5A5A2}">
  <dimension ref="A1:H16"/>
  <sheetViews>
    <sheetView showGridLines="0" workbookViewId="0"/>
  </sheetViews>
  <sheetFormatPr defaultRowHeight="15" x14ac:dyDescent="0.3"/>
  <cols>
    <col min="1" max="1" width="2.125" customWidth="1"/>
    <col min="2" max="2" width="8.875" bestFit="1" customWidth="1"/>
    <col min="3" max="3" width="21" bestFit="1" customWidth="1"/>
    <col min="4" max="4" width="4.125" bestFit="1" customWidth="1"/>
    <col min="5" max="5" width="6.5" bestFit="1" customWidth="1"/>
    <col min="6" max="8" width="8.875" bestFit="1" customWidth="1"/>
  </cols>
  <sheetData>
    <row r="1" spans="1:8" x14ac:dyDescent="0.3">
      <c r="A1" s="2" t="s">
        <v>8</v>
      </c>
    </row>
    <row r="2" spans="1:8" x14ac:dyDescent="0.3">
      <c r="A2" s="2" t="s">
        <v>9</v>
      </c>
    </row>
    <row r="3" spans="1:8" x14ac:dyDescent="0.3">
      <c r="A3" s="2" t="s">
        <v>10</v>
      </c>
    </row>
    <row r="6" spans="1:8" ht="15.6" thickBot="1" x14ac:dyDescent="0.35">
      <c r="A6" t="s">
        <v>11</v>
      </c>
    </row>
    <row r="7" spans="1:8" x14ac:dyDescent="0.3">
      <c r="B7" s="5"/>
      <c r="C7" s="5"/>
      <c r="D7" s="5" t="s">
        <v>14</v>
      </c>
      <c r="E7" s="5" t="s">
        <v>16</v>
      </c>
      <c r="F7" s="5" t="s">
        <v>18</v>
      </c>
      <c r="G7" s="5" t="s">
        <v>20</v>
      </c>
      <c r="H7" s="5" t="s">
        <v>20</v>
      </c>
    </row>
    <row r="8" spans="1:8" ht="15.6" thickBot="1" x14ac:dyDescent="0.35">
      <c r="B8" s="6" t="s">
        <v>12</v>
      </c>
      <c r="C8" s="6" t="s">
        <v>13</v>
      </c>
      <c r="D8" s="7" t="s">
        <v>15</v>
      </c>
      <c r="E8" s="7" t="s">
        <v>17</v>
      </c>
      <c r="F8" s="7" t="s">
        <v>19</v>
      </c>
      <c r="G8" s="7" t="s">
        <v>21</v>
      </c>
      <c r="H8" s="7" t="s">
        <v>22</v>
      </c>
    </row>
    <row r="9" spans="1:8" x14ac:dyDescent="0.3">
      <c r="B9" s="3" t="s">
        <v>27</v>
      </c>
      <c r="C9" s="3" t="s">
        <v>28</v>
      </c>
      <c r="D9" s="3">
        <v>6</v>
      </c>
      <c r="E9" s="3">
        <v>0</v>
      </c>
      <c r="F9" s="3">
        <v>10</v>
      </c>
      <c r="G9" s="3">
        <v>1E+30</v>
      </c>
      <c r="H9" s="3">
        <v>8.5</v>
      </c>
    </row>
    <row r="10" spans="1:8" ht="15.6" thickBot="1" x14ac:dyDescent="0.35">
      <c r="B10" s="4" t="s">
        <v>29</v>
      </c>
      <c r="C10" s="4" t="s">
        <v>30</v>
      </c>
      <c r="D10" s="4">
        <v>0</v>
      </c>
      <c r="E10" s="4">
        <v>-17</v>
      </c>
      <c r="F10" s="4">
        <v>3</v>
      </c>
      <c r="G10" s="4">
        <v>17</v>
      </c>
      <c r="H10" s="4">
        <v>1E+30</v>
      </c>
    </row>
    <row r="12" spans="1:8" ht="15.6" thickBot="1" x14ac:dyDescent="0.35">
      <c r="A12" t="s">
        <v>23</v>
      </c>
    </row>
    <row r="13" spans="1:8" x14ac:dyDescent="0.3">
      <c r="B13" s="5"/>
      <c r="C13" s="5"/>
      <c r="D13" s="5" t="s">
        <v>14</v>
      </c>
      <c r="E13" s="5" t="s">
        <v>24</v>
      </c>
      <c r="F13" s="5" t="s">
        <v>23</v>
      </c>
      <c r="G13" s="5" t="s">
        <v>20</v>
      </c>
      <c r="H13" s="5" t="s">
        <v>20</v>
      </c>
    </row>
    <row r="14" spans="1:8" ht="15.6" thickBot="1" x14ac:dyDescent="0.35">
      <c r="B14" s="6" t="s">
        <v>12</v>
      </c>
      <c r="C14" s="6" t="s">
        <v>13</v>
      </c>
      <c r="D14" s="7" t="s">
        <v>15</v>
      </c>
      <c r="E14" s="7" t="s">
        <v>25</v>
      </c>
      <c r="F14" s="7" t="s">
        <v>26</v>
      </c>
      <c r="G14" s="7" t="s">
        <v>21</v>
      </c>
      <c r="H14" s="7" t="s">
        <v>22</v>
      </c>
    </row>
    <row r="15" spans="1:8" x14ac:dyDescent="0.3">
      <c r="B15" s="3" t="s">
        <v>31</v>
      </c>
      <c r="C15" s="3" t="s">
        <v>32</v>
      </c>
      <c r="D15" s="3">
        <v>6</v>
      </c>
      <c r="E15" s="3">
        <v>10</v>
      </c>
      <c r="F15" s="3">
        <v>6</v>
      </c>
      <c r="G15" s="3">
        <v>1E+30</v>
      </c>
      <c r="H15" s="3">
        <v>6</v>
      </c>
    </row>
    <row r="16" spans="1:8" ht="15.6" thickBot="1" x14ac:dyDescent="0.35">
      <c r="B16" s="4" t="s">
        <v>33</v>
      </c>
      <c r="C16" s="4" t="s">
        <v>34</v>
      </c>
      <c r="D16" s="4">
        <v>0</v>
      </c>
      <c r="E16" s="4">
        <v>0</v>
      </c>
      <c r="F16" s="4">
        <v>15</v>
      </c>
      <c r="G16" s="4">
        <v>1E+30</v>
      </c>
      <c r="H16" s="4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9052-2E81-456C-B1D9-5780F841A9E8}">
  <dimension ref="A1:G30"/>
  <sheetViews>
    <sheetView showGridLines="0" workbookViewId="0"/>
  </sheetViews>
  <sheetFormatPr defaultRowHeight="15" x14ac:dyDescent="0.3"/>
  <cols>
    <col min="1" max="1" width="2.125" customWidth="1"/>
    <col min="2" max="2" width="8.875" bestFit="1" customWidth="1"/>
    <col min="3" max="3" width="21" bestFit="1" customWidth="1"/>
    <col min="4" max="4" width="11.375" bestFit="1" customWidth="1"/>
    <col min="5" max="5" width="13" bestFit="1" customWidth="1"/>
    <col min="6" max="6" width="8.25" bestFit="1" customWidth="1"/>
    <col min="7" max="7" width="11.375" bestFit="1" customWidth="1"/>
  </cols>
  <sheetData>
    <row r="1" spans="1:5" x14ac:dyDescent="0.3">
      <c r="A1" s="2" t="s">
        <v>35</v>
      </c>
    </row>
    <row r="2" spans="1:5" x14ac:dyDescent="0.3">
      <c r="A2" s="2" t="s">
        <v>9</v>
      </c>
    </row>
    <row r="3" spans="1:5" x14ac:dyDescent="0.3">
      <c r="A3" s="2" t="s">
        <v>36</v>
      </c>
    </row>
    <row r="4" spans="1:5" x14ac:dyDescent="0.3">
      <c r="A4" s="2" t="s">
        <v>37</v>
      </c>
    </row>
    <row r="5" spans="1:5" x14ac:dyDescent="0.3">
      <c r="A5" s="2" t="s">
        <v>38</v>
      </c>
    </row>
    <row r="6" spans="1:5" x14ac:dyDescent="0.3">
      <c r="A6" s="2"/>
      <c r="B6" t="s">
        <v>39</v>
      </c>
    </row>
    <row r="7" spans="1:5" x14ac:dyDescent="0.3">
      <c r="A7" s="2"/>
      <c r="B7" t="s">
        <v>40</v>
      </c>
    </row>
    <row r="8" spans="1:5" x14ac:dyDescent="0.3">
      <c r="A8" s="2"/>
      <c r="B8" t="s">
        <v>41</v>
      </c>
    </row>
    <row r="9" spans="1:5" x14ac:dyDescent="0.3">
      <c r="A9" s="2" t="s">
        <v>42</v>
      </c>
    </row>
    <row r="10" spans="1:5" x14ac:dyDescent="0.3">
      <c r="B10" t="s">
        <v>43</v>
      </c>
    </row>
    <row r="11" spans="1:5" x14ac:dyDescent="0.3">
      <c r="B11" t="s">
        <v>44</v>
      </c>
    </row>
    <row r="14" spans="1:5" ht="15.6" thickBot="1" x14ac:dyDescent="0.35">
      <c r="A14" t="s">
        <v>45</v>
      </c>
    </row>
    <row r="15" spans="1:5" ht="15.6" thickBot="1" x14ac:dyDescent="0.35">
      <c r="B15" s="8" t="s">
        <v>12</v>
      </c>
      <c r="C15" s="8" t="s">
        <v>13</v>
      </c>
      <c r="D15" s="8" t="s">
        <v>46</v>
      </c>
      <c r="E15" s="8" t="s">
        <v>47</v>
      </c>
    </row>
    <row r="16" spans="1:5" ht="15.6" thickBot="1" x14ac:dyDescent="0.35">
      <c r="B16" s="4" t="s">
        <v>53</v>
      </c>
      <c r="C16" s="4" t="s">
        <v>54</v>
      </c>
      <c r="D16" s="9">
        <v>15</v>
      </c>
      <c r="E16" s="9">
        <v>15</v>
      </c>
    </row>
    <row r="19" spans="1:7" ht="15.6" thickBot="1" x14ac:dyDescent="0.35">
      <c r="A19" t="s">
        <v>11</v>
      </c>
    </row>
    <row r="20" spans="1:7" ht="15.6" thickBot="1" x14ac:dyDescent="0.35">
      <c r="B20" s="8" t="s">
        <v>12</v>
      </c>
      <c r="C20" s="8" t="s">
        <v>13</v>
      </c>
      <c r="D20" s="8" t="s">
        <v>46</v>
      </c>
      <c r="E20" s="8" t="s">
        <v>47</v>
      </c>
      <c r="F20" s="8" t="s">
        <v>48</v>
      </c>
    </row>
    <row r="21" spans="1:7" x14ac:dyDescent="0.3">
      <c r="B21" s="3" t="s">
        <v>27</v>
      </c>
      <c r="C21" s="3" t="s">
        <v>28</v>
      </c>
      <c r="D21" s="10">
        <v>6</v>
      </c>
      <c r="E21" s="10">
        <v>6</v>
      </c>
      <c r="F21" s="3" t="s">
        <v>55</v>
      </c>
    </row>
    <row r="22" spans="1:7" ht="15.6" thickBot="1" x14ac:dyDescent="0.35">
      <c r="B22" s="4" t="s">
        <v>29</v>
      </c>
      <c r="C22" s="4" t="s">
        <v>30</v>
      </c>
      <c r="D22" s="9">
        <v>0</v>
      </c>
      <c r="E22" s="9">
        <v>0</v>
      </c>
      <c r="F22" s="4" t="s">
        <v>55</v>
      </c>
    </row>
    <row r="25" spans="1:7" ht="15.6" thickBot="1" x14ac:dyDescent="0.35">
      <c r="A25" t="s">
        <v>23</v>
      </c>
    </row>
    <row r="26" spans="1:7" ht="15.6" thickBot="1" x14ac:dyDescent="0.35">
      <c r="B26" s="8" t="s">
        <v>12</v>
      </c>
      <c r="C26" s="8" t="s">
        <v>13</v>
      </c>
      <c r="D26" s="8" t="s">
        <v>49</v>
      </c>
      <c r="E26" s="8" t="s">
        <v>50</v>
      </c>
      <c r="F26" s="8" t="s">
        <v>51</v>
      </c>
      <c r="G26" s="8" t="s">
        <v>52</v>
      </c>
    </row>
    <row r="27" spans="1:7" x14ac:dyDescent="0.3">
      <c r="B27" s="3" t="s">
        <v>31</v>
      </c>
      <c r="C27" s="3" t="s">
        <v>32</v>
      </c>
      <c r="D27" s="10">
        <v>6</v>
      </c>
      <c r="E27" s="3" t="s">
        <v>56</v>
      </c>
      <c r="F27" s="3" t="s">
        <v>57</v>
      </c>
      <c r="G27" s="3">
        <v>0</v>
      </c>
    </row>
    <row r="28" spans="1:7" x14ac:dyDescent="0.3">
      <c r="B28" s="3" t="s">
        <v>33</v>
      </c>
      <c r="C28" s="3" t="s">
        <v>34</v>
      </c>
      <c r="D28" s="10">
        <v>0</v>
      </c>
      <c r="E28" s="3" t="s">
        <v>58</v>
      </c>
      <c r="F28" s="3" t="s">
        <v>59</v>
      </c>
      <c r="G28" s="3">
        <v>15</v>
      </c>
    </row>
    <row r="29" spans="1:7" x14ac:dyDescent="0.3">
      <c r="B29" s="3" t="s">
        <v>27</v>
      </c>
      <c r="C29" s="3" t="s">
        <v>28</v>
      </c>
      <c r="D29" s="10">
        <v>6</v>
      </c>
      <c r="E29" s="3" t="s">
        <v>60</v>
      </c>
      <c r="F29" s="3" t="s">
        <v>59</v>
      </c>
      <c r="G29" s="10">
        <v>6</v>
      </c>
    </row>
    <row r="30" spans="1:7" ht="15.6" thickBot="1" x14ac:dyDescent="0.35">
      <c r="B30" s="4" t="s">
        <v>29</v>
      </c>
      <c r="C30" s="4" t="s">
        <v>30</v>
      </c>
      <c r="D30" s="9">
        <v>0</v>
      </c>
      <c r="E30" s="4" t="s">
        <v>61</v>
      </c>
      <c r="F30" s="4" t="s">
        <v>57</v>
      </c>
      <c r="G30" s="9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6D8D-78BA-40E7-8C34-1C57B3E3D271}">
  <dimension ref="A1:C8"/>
  <sheetViews>
    <sheetView workbookViewId="0">
      <selection activeCell="B5" sqref="B5"/>
    </sheetView>
  </sheetViews>
  <sheetFormatPr defaultRowHeight="1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</v>
      </c>
      <c r="C2">
        <v>0</v>
      </c>
    </row>
    <row r="4" spans="1:3" x14ac:dyDescent="0.3">
      <c r="A4" s="1" t="s">
        <v>4</v>
      </c>
      <c r="B4">
        <f>2.5*B2 + 3*C2</f>
        <v>15</v>
      </c>
    </row>
    <row r="6" spans="1:3" x14ac:dyDescent="0.3">
      <c r="A6" t="s">
        <v>5</v>
      </c>
    </row>
    <row r="7" spans="1:3" x14ac:dyDescent="0.3">
      <c r="A7" t="s">
        <v>6</v>
      </c>
      <c r="B7">
        <f>B2 + 2*C2</f>
        <v>6</v>
      </c>
      <c r="C7">
        <v>6</v>
      </c>
    </row>
    <row r="8" spans="1:3" x14ac:dyDescent="0.3">
      <c r="A8" t="s">
        <v>7</v>
      </c>
      <c r="B8">
        <v>0</v>
      </c>
      <c r="C8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672A-9D4E-4E03-9CBA-14BFB15F5423}">
  <dimension ref="A1:G37"/>
  <sheetViews>
    <sheetView showGridLines="0" workbookViewId="0">
      <selection activeCell="G33" sqref="G33"/>
    </sheetView>
  </sheetViews>
  <sheetFormatPr defaultRowHeight="15" x14ac:dyDescent="0.3"/>
  <cols>
    <col min="1" max="1" width="2.125" customWidth="1"/>
    <col min="2" max="2" width="8.875" bestFit="1" customWidth="1"/>
    <col min="3" max="3" width="42" bestFit="1" customWidth="1"/>
    <col min="4" max="4" width="12.75" bestFit="1" customWidth="1"/>
    <col min="5" max="5" width="13.75" bestFit="1" customWidth="1"/>
    <col min="6" max="6" width="8.25" bestFit="1" customWidth="1"/>
    <col min="7" max="7" width="12.75" bestFit="1" customWidth="1"/>
  </cols>
  <sheetData>
    <row r="1" spans="1:5" x14ac:dyDescent="0.3">
      <c r="A1" s="2" t="s">
        <v>35</v>
      </c>
    </row>
    <row r="2" spans="1:5" x14ac:dyDescent="0.3">
      <c r="A2" s="2" t="s">
        <v>68</v>
      </c>
    </row>
    <row r="3" spans="1:5" x14ac:dyDescent="0.3">
      <c r="A3" s="2" t="s">
        <v>69</v>
      </c>
    </row>
    <row r="4" spans="1:5" x14ac:dyDescent="0.3">
      <c r="A4" s="2" t="s">
        <v>37</v>
      </c>
    </row>
    <row r="5" spans="1:5" x14ac:dyDescent="0.3">
      <c r="A5" s="2" t="s">
        <v>38</v>
      </c>
    </row>
    <row r="6" spans="1:5" x14ac:dyDescent="0.3">
      <c r="A6" s="2"/>
      <c r="B6" t="s">
        <v>39</v>
      </c>
    </row>
    <row r="7" spans="1:5" x14ac:dyDescent="0.3">
      <c r="A7" s="2"/>
      <c r="B7" t="s">
        <v>70</v>
      </c>
    </row>
    <row r="8" spans="1:5" x14ac:dyDescent="0.3">
      <c r="A8" s="2"/>
      <c r="B8" t="s">
        <v>41</v>
      </c>
    </row>
    <row r="9" spans="1:5" x14ac:dyDescent="0.3">
      <c r="A9" s="2" t="s">
        <v>42</v>
      </c>
    </row>
    <row r="10" spans="1:5" x14ac:dyDescent="0.3">
      <c r="B10" t="s">
        <v>71</v>
      </c>
    </row>
    <row r="11" spans="1:5" x14ac:dyDescent="0.3">
      <c r="B11" t="s">
        <v>44</v>
      </c>
    </row>
    <row r="14" spans="1:5" ht="15.6" thickBot="1" x14ac:dyDescent="0.35">
      <c r="A14" t="s">
        <v>45</v>
      </c>
    </row>
    <row r="15" spans="1:5" ht="15.6" thickBot="1" x14ac:dyDescent="0.35">
      <c r="B15" s="8" t="s">
        <v>12</v>
      </c>
      <c r="C15" s="8" t="s">
        <v>13</v>
      </c>
      <c r="D15" s="8" t="s">
        <v>46</v>
      </c>
      <c r="E15" s="8" t="s">
        <v>47</v>
      </c>
    </row>
    <row r="16" spans="1:5" ht="15.6" thickBot="1" x14ac:dyDescent="0.35">
      <c r="B16" s="4" t="s">
        <v>53</v>
      </c>
      <c r="C16" s="4" t="s">
        <v>54</v>
      </c>
      <c r="D16" s="9">
        <v>57122.807017543862</v>
      </c>
      <c r="E16" s="9">
        <v>57122.807017543862</v>
      </c>
    </row>
    <row r="19" spans="1:7" ht="15.6" thickBot="1" x14ac:dyDescent="0.35">
      <c r="A19" t="s">
        <v>11</v>
      </c>
    </row>
    <row r="20" spans="1:7" ht="15.6" thickBot="1" x14ac:dyDescent="0.35">
      <c r="B20" s="8" t="s">
        <v>12</v>
      </c>
      <c r="C20" s="8" t="s">
        <v>13</v>
      </c>
      <c r="D20" s="8" t="s">
        <v>46</v>
      </c>
      <c r="E20" s="8" t="s">
        <v>47</v>
      </c>
      <c r="F20" s="8" t="s">
        <v>48</v>
      </c>
    </row>
    <row r="21" spans="1:7" x14ac:dyDescent="0.3">
      <c r="B21" s="3" t="s">
        <v>27</v>
      </c>
      <c r="C21" s="3" t="s">
        <v>28</v>
      </c>
      <c r="D21" s="10">
        <v>0</v>
      </c>
      <c r="E21" s="10">
        <v>0</v>
      </c>
      <c r="F21" s="3" t="s">
        <v>55</v>
      </c>
    </row>
    <row r="22" spans="1:7" x14ac:dyDescent="0.3">
      <c r="B22" s="3" t="s">
        <v>29</v>
      </c>
      <c r="C22" s="3" t="s">
        <v>30</v>
      </c>
      <c r="D22" s="10">
        <v>298.24561403508773</v>
      </c>
      <c r="E22" s="10">
        <v>298.24561403508773</v>
      </c>
      <c r="F22" s="3" t="s">
        <v>55</v>
      </c>
    </row>
    <row r="23" spans="1:7" x14ac:dyDescent="0.3">
      <c r="B23" s="3" t="s">
        <v>72</v>
      </c>
      <c r="C23" s="3" t="s">
        <v>73</v>
      </c>
      <c r="D23" s="10">
        <v>0</v>
      </c>
      <c r="E23" s="10">
        <v>0</v>
      </c>
      <c r="F23" s="3" t="s">
        <v>55</v>
      </c>
    </row>
    <row r="24" spans="1:7" ht="15.6" thickBot="1" x14ac:dyDescent="0.35">
      <c r="B24" s="4" t="s">
        <v>74</v>
      </c>
      <c r="C24" s="4" t="s">
        <v>75</v>
      </c>
      <c r="D24" s="9">
        <v>305.26315789473682</v>
      </c>
      <c r="E24" s="9">
        <v>305.26315789473682</v>
      </c>
      <c r="F24" s="4" t="s">
        <v>55</v>
      </c>
    </row>
    <row r="27" spans="1:7" ht="15.6" thickBot="1" x14ac:dyDescent="0.35">
      <c r="A27" t="s">
        <v>23</v>
      </c>
    </row>
    <row r="28" spans="1:7" ht="15.6" thickBot="1" x14ac:dyDescent="0.35">
      <c r="B28" s="8" t="s">
        <v>12</v>
      </c>
      <c r="C28" s="8" t="s">
        <v>13</v>
      </c>
      <c r="D28" s="8" t="s">
        <v>49</v>
      </c>
      <c r="E28" s="8" t="s">
        <v>50</v>
      </c>
      <c r="F28" s="8" t="s">
        <v>51</v>
      </c>
      <c r="G28" s="8" t="s">
        <v>52</v>
      </c>
    </row>
    <row r="29" spans="1:7" x14ac:dyDescent="0.3">
      <c r="B29" s="3" t="s">
        <v>76</v>
      </c>
      <c r="C29" s="3" t="s">
        <v>77</v>
      </c>
      <c r="D29" s="10">
        <v>298.24561403508773</v>
      </c>
      <c r="E29" s="3" t="s">
        <v>78</v>
      </c>
      <c r="F29" s="3" t="s">
        <v>59</v>
      </c>
      <c r="G29" s="3">
        <v>201.75438596491227</v>
      </c>
    </row>
    <row r="30" spans="1:7" x14ac:dyDescent="0.3">
      <c r="B30" s="3" t="s">
        <v>79</v>
      </c>
      <c r="C30" s="3" t="s">
        <v>80</v>
      </c>
      <c r="D30" s="10">
        <v>305.26315789473682</v>
      </c>
      <c r="E30" s="3" t="s">
        <v>81</v>
      </c>
      <c r="F30" s="3" t="s">
        <v>59</v>
      </c>
      <c r="G30" s="3">
        <v>194.73684210526318</v>
      </c>
    </row>
    <row r="31" spans="1:7" x14ac:dyDescent="0.3">
      <c r="B31" s="3" t="s">
        <v>33</v>
      </c>
      <c r="C31" s="3" t="s">
        <v>82</v>
      </c>
      <c r="D31" s="10">
        <v>1200</v>
      </c>
      <c r="E31" s="3" t="s">
        <v>83</v>
      </c>
      <c r="F31" s="3" t="s">
        <v>57</v>
      </c>
      <c r="G31" s="3">
        <v>0</v>
      </c>
    </row>
    <row r="32" spans="1:7" x14ac:dyDescent="0.3">
      <c r="B32" s="3" t="s">
        <v>84</v>
      </c>
      <c r="C32" s="3" t="s">
        <v>85</v>
      </c>
      <c r="D32" s="10">
        <v>25000</v>
      </c>
      <c r="E32" s="3" t="s">
        <v>86</v>
      </c>
      <c r="F32" s="3" t="s">
        <v>57</v>
      </c>
      <c r="G32" s="3">
        <v>0</v>
      </c>
    </row>
    <row r="33" spans="2:7" x14ac:dyDescent="0.3">
      <c r="B33" s="3" t="s">
        <v>27</v>
      </c>
      <c r="C33" s="3" t="s">
        <v>28</v>
      </c>
      <c r="D33" s="10">
        <v>0</v>
      </c>
      <c r="E33" s="3" t="s">
        <v>87</v>
      </c>
      <c r="F33" s="3" t="s">
        <v>59</v>
      </c>
      <c r="G33" s="3">
        <v>72</v>
      </c>
    </row>
    <row r="34" spans="2:7" x14ac:dyDescent="0.3">
      <c r="B34" s="3" t="s">
        <v>27</v>
      </c>
      <c r="C34" s="3" t="s">
        <v>28</v>
      </c>
      <c r="D34" s="10">
        <v>0</v>
      </c>
      <c r="E34" s="3" t="s">
        <v>60</v>
      </c>
      <c r="F34" s="3" t="s">
        <v>57</v>
      </c>
      <c r="G34" s="10">
        <v>0</v>
      </c>
    </row>
    <row r="35" spans="2:7" x14ac:dyDescent="0.3">
      <c r="B35" s="3" t="s">
        <v>29</v>
      </c>
      <c r="C35" s="3" t="s">
        <v>30</v>
      </c>
      <c r="D35" s="10">
        <v>298.24561403508773</v>
      </c>
      <c r="E35" s="3" t="s">
        <v>61</v>
      </c>
      <c r="F35" s="3" t="s">
        <v>59</v>
      </c>
      <c r="G35" s="10">
        <v>298.24561403508773</v>
      </c>
    </row>
    <row r="36" spans="2:7" x14ac:dyDescent="0.3">
      <c r="B36" s="3" t="s">
        <v>72</v>
      </c>
      <c r="C36" s="3" t="s">
        <v>73</v>
      </c>
      <c r="D36" s="10">
        <v>0</v>
      </c>
      <c r="E36" s="3" t="s">
        <v>88</v>
      </c>
      <c r="F36" s="3" t="s">
        <v>57</v>
      </c>
      <c r="G36" s="10">
        <v>0</v>
      </c>
    </row>
    <row r="37" spans="2:7" ht="15.6" thickBot="1" x14ac:dyDescent="0.35">
      <c r="B37" s="4" t="s">
        <v>74</v>
      </c>
      <c r="C37" s="4" t="s">
        <v>75</v>
      </c>
      <c r="D37" s="9">
        <v>305.26315789473682</v>
      </c>
      <c r="E37" s="4" t="s">
        <v>89</v>
      </c>
      <c r="F37" s="4" t="s">
        <v>59</v>
      </c>
      <c r="G37" s="9">
        <v>305.26315789473682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570A-0929-46BF-9CCC-4D9F246BEA74}">
  <dimension ref="A1:E11"/>
  <sheetViews>
    <sheetView tabSelected="1" workbookViewId="0">
      <selection activeCell="C10" sqref="C10"/>
    </sheetView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2</v>
      </c>
      <c r="D1" t="s">
        <v>62</v>
      </c>
      <c r="E1" t="s">
        <v>63</v>
      </c>
    </row>
    <row r="2" spans="1:5" x14ac:dyDescent="0.3">
      <c r="A2" t="s">
        <v>3</v>
      </c>
      <c r="B2">
        <v>0</v>
      </c>
      <c r="C2">
        <v>298.24561403508773</v>
      </c>
      <c r="D2">
        <v>0</v>
      </c>
      <c r="E2">
        <v>305.26315789473682</v>
      </c>
    </row>
    <row r="4" spans="1:5" x14ac:dyDescent="0.3">
      <c r="A4" t="s">
        <v>4</v>
      </c>
      <c r="B4">
        <f>90*B2 + 125*C2 + 45*D2 + 65*E2</f>
        <v>57122.807017543862</v>
      </c>
    </row>
    <row r="6" spans="1:5" x14ac:dyDescent="0.3">
      <c r="A6" t="s">
        <v>5</v>
      </c>
    </row>
    <row r="7" spans="1:5" x14ac:dyDescent="0.3">
      <c r="A7" t="s">
        <v>64</v>
      </c>
      <c r="B7">
        <f>0.1*B2 + 0.25*C2 + 0.08*D2 + 0.21*E2</f>
        <v>138.66666666666666</v>
      </c>
      <c r="C7">
        <v>72</v>
      </c>
    </row>
    <row r="8" spans="1:5" x14ac:dyDescent="0.3">
      <c r="A8" t="s">
        <v>65</v>
      </c>
      <c r="B8">
        <f>3*B2 + 3*C2 + D2 + E2</f>
        <v>1200</v>
      </c>
      <c r="C8">
        <v>1200</v>
      </c>
    </row>
    <row r="9" spans="1:5" x14ac:dyDescent="0.3">
      <c r="A9" t="s">
        <v>66</v>
      </c>
      <c r="B9">
        <f>36*B2 + 48*C2 + 25*D2 + 35*E2</f>
        <v>25000</v>
      </c>
      <c r="C9">
        <v>25000</v>
      </c>
    </row>
    <row r="10" spans="1:5" x14ac:dyDescent="0.3">
      <c r="A10" t="s">
        <v>90</v>
      </c>
      <c r="B10">
        <f>B2 + C2</f>
        <v>298.24561403508773</v>
      </c>
      <c r="C10">
        <v>3000</v>
      </c>
    </row>
    <row r="11" spans="1:5" x14ac:dyDescent="0.3">
      <c r="A11" t="s">
        <v>67</v>
      </c>
      <c r="B11">
        <f>D2 + E2</f>
        <v>305.26315789473682</v>
      </c>
      <c r="C11">
        <v>500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5AACCE242BA069488754EEBBB8FCCA10" ma:contentTypeVersion="14" ma:contentTypeDescription="建立新的文件。" ma:contentTypeScope="" ma:versionID="76cc7e96dc8e8bf86eb26213e5d64c39">
  <xsd:schema xmlns:xsd="http://www.w3.org/2001/XMLSchema" xmlns:xs="http://www.w3.org/2001/XMLSchema" xmlns:p="http://schemas.microsoft.com/office/2006/metadata/properties" xmlns:ns3="aa355645-b69a-4606-a369-d72e5e185888" xmlns:ns4="ad86481a-c252-4ad7-97e8-588f43bfd596" targetNamespace="http://schemas.microsoft.com/office/2006/metadata/properties" ma:root="true" ma:fieldsID="d047a8c42aa2d58cc594b273962af2bf" ns3:_="" ns4:_="">
    <xsd:import namespace="aa355645-b69a-4606-a369-d72e5e185888"/>
    <xsd:import namespace="ad86481a-c252-4ad7-97e8-588f43bfd5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355645-b69a-4606-a369-d72e5e1858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6481a-c252-4ad7-97e8-588f43bfd59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355645-b69a-4606-a369-d72e5e185888" xsi:nil="true"/>
  </documentManagement>
</p:properties>
</file>

<file path=customXml/itemProps1.xml><?xml version="1.0" encoding="utf-8"?>
<ds:datastoreItem xmlns:ds="http://schemas.openxmlformats.org/officeDocument/2006/customXml" ds:itemID="{65DD4253-3322-4881-A9CE-83E49B2CD7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355645-b69a-4606-a369-d72e5e185888"/>
    <ds:schemaRef ds:uri="ad86481a-c252-4ad7-97e8-588f43bfd5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CCB642-4360-462B-A6D0-A37677FEDA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6844BC-7A4E-4863-B178-7C8C37E29402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ad86481a-c252-4ad7-97e8-588f43bfd596"/>
    <ds:schemaRef ds:uri="aa355645-b69a-4606-a369-d72e5e1858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敏感度報表 1</vt:lpstr>
      <vt:lpstr>運算結果報表 1</vt:lpstr>
      <vt:lpstr>第一題</vt:lpstr>
      <vt:lpstr>運算結果報表 2</vt:lpstr>
      <vt:lpstr>第二題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黄玟瑄</dc:creator>
  <cp:lastModifiedBy>黄玟瑄</cp:lastModifiedBy>
  <dcterms:created xsi:type="dcterms:W3CDTF">2025-03-13T01:25:01Z</dcterms:created>
  <dcterms:modified xsi:type="dcterms:W3CDTF">2025-03-13T02:26:06Z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0x0101005AACCE242BA069488754EEBBB8FCCA10</vt:lpwstr>
  </property>
</Properties>
</file>